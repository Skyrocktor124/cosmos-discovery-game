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读我" sheetId="1" state="visible" r:id="rId1"/>
    <sheet name="Excel 方法库" sheetId="2" state="visible" r:id="rId2"/>
    <sheet name="内容公式" sheetId="3" state="visible" r:id="rId3"/>
    <sheet name="选题池" sheetId="4" state="visible" r:id="rId4"/>
    <sheet name="90 天执行表" sheetId="5" state="visible" r:id="rId5"/>
    <sheet name="变现阶梯" sheetId="6" state="visible" r:id="rId6"/>
  </sheets>
  <definedNames>
    <definedName name="_xlnm._FilterDatabase" localSheetId="1" hidden="1">'Excel 方法库'!$A$4:$G$23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FF116B45"/>
      <sz val="16"/>
    </font>
    <font>
      <name val="Arial"/>
      <color rgb="FF4B584F"/>
      <sz val="9"/>
    </font>
    <font>
      <name val="Arial"/>
      <b val="1"/>
      <color rgb="FF116B45"/>
      <sz val="11"/>
    </font>
    <font>
      <name val="Arial"/>
      <sz val="10"/>
    </font>
    <font>
      <name val="Arial"/>
      <b val="1"/>
      <sz val="10"/>
    </font>
    <font>
      <name val="Arial"/>
      <b val="1"/>
      <color rgb="FF116B45"/>
      <sz val="14"/>
    </font>
    <font>
      <name val="Arial"/>
      <b val="1"/>
      <color rgb="FFFFFFFF"/>
      <sz val="10"/>
    </font>
    <font>
      <name val="Arial"/>
      <color rgb="FF0000FF"/>
      <sz val="10"/>
    </font>
    <font>
      <name val="Arial"/>
      <b val="1"/>
      <color rgb="FF116B45"/>
      <sz val="10"/>
    </font>
    <font>
      <name val="Arial"/>
      <b val="1"/>
      <color rgb="FF116B45"/>
      <sz val="12"/>
    </font>
    <font>
      <name val="Arial"/>
      <b val="1"/>
      <color rgb="FFC81F66"/>
      <sz val="10"/>
    </font>
    <font>
      <name val="Arial"/>
      <b val="1"/>
      <color rgb="FF9C6B12"/>
      <sz val="10"/>
    </font>
  </fonts>
  <fills count="5">
    <fill>
      <patternFill/>
    </fill>
    <fill>
      <patternFill patternType="gray125"/>
    </fill>
    <fill>
      <patternFill patternType="solid">
        <fgColor rgb="FF116B45"/>
      </patternFill>
    </fill>
    <fill>
      <patternFill patternType="solid">
        <fgColor rgb="FFFFFF00"/>
      </patternFill>
    </fill>
    <fill>
      <patternFill patternType="solid">
        <fgColor rgb="FFDCEBE2"/>
      </patternFill>
    </fill>
  </fills>
  <borders count="2">
    <border>
      <left/>
      <right/>
      <top/>
      <bottom/>
      <diagonal/>
    </border>
    <border>
      <left style="thin">
        <color rgb="FFB2BFB6"/>
      </left>
      <right style="thin">
        <color rgb="FFB2BFB6"/>
      </right>
      <top style="thin">
        <color rgb="FFB2BFB6"/>
      </top>
      <bottom style="thin">
        <color rgb="FFB2BFB6"/>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2" fillId="0" borderId="0" applyAlignment="1" pivotButton="0" quotePrefix="0" xfId="0">
      <alignment horizontal="right"/>
    </xf>
    <xf numFmtId="0" fontId="7" fillId="2" borderId="1" applyAlignment="1" pivotButton="0" quotePrefix="0" xfId="0">
      <alignment horizontal="center" vertical="top" wrapText="1"/>
    </xf>
    <xf numFmtId="0" fontId="4" fillId="0" borderId="1" applyAlignment="1" pivotButton="0" quotePrefix="0" xfId="0">
      <alignment horizontal="center"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8" fillId="3" borderId="1" applyAlignment="1" pivotButton="0" quotePrefix="0" xfId="0">
      <alignment horizontal="center" vertical="top" wrapText="1"/>
    </xf>
    <xf numFmtId="0" fontId="9" fillId="4" borderId="1" applyAlignment="1" pivotButton="0" quotePrefix="0" xfId="0">
      <alignment horizontal="center" vertical="top" wrapText="1"/>
    </xf>
    <xf numFmtId="0" fontId="10" fillId="0" borderId="0" pivotButton="0" quotePrefix="0" xfId="0"/>
    <xf numFmtId="0" fontId="0" fillId="0" borderId="1" applyAlignment="1" pivotButton="0" quotePrefix="0" xfId="0">
      <alignment horizontal="center" vertical="top" wrapText="1"/>
    </xf>
    <xf numFmtId="0" fontId="11" fillId="0" borderId="1" applyAlignment="1" pivotButton="0" quotePrefix="0" xfId="0">
      <alignment horizontal="center" vertical="top" wrapText="1"/>
    </xf>
    <xf numFmtId="0" fontId="0" fillId="0" borderId="1" pivotButton="0" quotePrefix="0" xfId="0"/>
    <xf numFmtId="0" fontId="8" fillId="0" borderId="1" applyAlignment="1" pivotButton="0" quotePrefix="0" xfId="0">
      <alignment vertical="top" wrapText="1"/>
    </xf>
    <xf numFmtId="0" fontId="8" fillId="0" borderId="1" applyAlignment="1" pivotButton="0" quotePrefix="0" xfId="0">
      <alignment horizontal="center" vertical="top" wrapText="1"/>
    </xf>
    <xf numFmtId="9" fontId="5" fillId="0" borderId="0" applyAlignment="1" pivotButton="0" quotePrefix="0" xfId="0">
      <alignment horizontal="center" vertical="top" wrapText="1"/>
    </xf>
    <xf numFmtId="0" fontId="9" fillId="4" borderId="1" applyAlignment="1" pivotButton="0" quotePrefix="0" xfId="0">
      <alignment vertical="top" wrapText="1"/>
    </xf>
    <xf numFmtId="0" fontId="1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速查表</author>
  </authors>
  <commentList>
    <comment ref="C4" authorId="0" shapeId="0">
      <text>
        <t>按“高频 × 高痛 × 低步骤”筛选后的结果：日常用得上，且三步之内能出效果。</t>
      </text>
    </comment>
  </commentList>
</comments>
</file>

<file path=xl/comments/comment2.xml><?xml version="1.0" encoding="utf-8"?>
<comments xmlns="http://schemas.openxmlformats.org/spreadsheetml/2006/main">
  <authors>
    <author>速查表</author>
  </authors>
  <commentList>
    <comment ref="B5" authorId="0" shapeId="0">
      <text>
        <t>示例行：照这个格式填，写观众会说的话，不要写“TEXTSPLIT 用法”。</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116B45"/>
    <outlinePr summaryBelow="1" summaryRight="1"/>
    <pageSetUpPr/>
  </sheetPr>
  <dimension ref="B2:C13"/>
  <sheetViews>
    <sheetView showGridLines="0" workbookViewId="0">
      <selection activeCell="A1" sqref="A1"/>
    </sheetView>
  </sheetViews>
  <sheetFormatPr baseColWidth="8" defaultRowHeight="15"/>
  <cols>
    <col width="3" customWidth="1" min="1" max="1"/>
    <col width="22" customWidth="1" min="2" max="2"/>
    <col width="86" customWidth="1" min="3" max="3"/>
  </cols>
  <sheetData>
    <row r="2">
      <c r="B2" s="1" t="inlineStr">
        <is>
          <t>Miss Excel 打法速查表</t>
        </is>
      </c>
    </row>
    <row r="3">
      <c r="B3" s="2" t="inlineStr">
        <is>
          <t>Kat Norton 自媒体方法论 + 最好用的 Excel 方法 · 第三方拆解，基于公开信息</t>
        </is>
      </c>
    </row>
    <row r="5" ht="20" customHeight="1">
      <c r="B5" s="3" t="inlineStr">
        <is>
          <t>这份表怎么用</t>
        </is>
      </c>
      <c r="C5" s="4" t="inlineStr"/>
    </row>
    <row r="6" ht="30" customHeight="1">
      <c r="B6" s="5" t="inlineStr">
        <is>
          <t>Excel 方法库</t>
        </is>
      </c>
      <c r="C6" s="4" t="inlineStr">
        <is>
          <t>19 个高频方法，按场景分组。最右侧“掌握度”是给你填的（蓝色字＝可编辑），填 1–5，表头会自动统计进度。</t>
        </is>
      </c>
    </row>
    <row r="7" ht="30" customHeight="1">
      <c r="B7" s="5" t="inlineStr">
        <is>
          <t>内容公式</t>
        </is>
      </c>
      <c r="C7" s="4" t="inlineStr">
        <is>
          <t>单条视频的四段结构 + 三条硬规则。每次开拍前照着过一遍。</t>
        </is>
      </c>
    </row>
    <row r="8" ht="30" customHeight="1">
      <c r="B8" s="5" t="inlineStr">
        <is>
          <t>选题池</t>
        </is>
      </c>
      <c r="C8" s="4" t="inlineStr">
        <is>
          <t>填入选题和三项打分，总分与建议会自动算出来。总分 ≥ 11 且步骤 ≤ 3 才值得拍。</t>
        </is>
      </c>
    </row>
    <row r="9" ht="30" customHeight="1">
      <c r="B9" s="5" t="inlineStr">
        <is>
          <t>90 天执行表</t>
        </is>
      </c>
      <c r="C9" s="4" t="inlineStr">
        <is>
          <t>六个阶段，勾选“已完成”会自动算出完成率。</t>
        </is>
      </c>
    </row>
    <row r="10" ht="30" customHeight="1">
      <c r="B10" s="5" t="inlineStr">
        <is>
          <t>变现阶梯</t>
        </is>
      </c>
      <c r="C10" s="4" t="inlineStr">
        <is>
          <t>五层漏斗与对应动作，用来判断你现在缺哪一层。</t>
        </is>
      </c>
    </row>
    <row r="11" ht="20" customHeight="1">
      <c r="B11" s="3" t="inlineStr"/>
      <c r="C11" s="4" t="inlineStr"/>
    </row>
    <row r="12" ht="30" customHeight="1">
      <c r="B12" s="5" t="inlineStr">
        <is>
          <t>颜色约定</t>
        </is>
      </c>
      <c r="C12" s="4" t="inlineStr">
        <is>
          <t>蓝色字 = 你要填的输入格；黄色底 = 关键假设/需要你决定的地方；黑色字 = 自动计算，别改。</t>
        </is>
      </c>
    </row>
    <row r="13" ht="30" customHeight="1">
      <c r="B13" s="5" t="inlineStr">
        <is>
          <t>说明</t>
        </is>
      </c>
      <c r="C13" s="4" t="inlineStr">
        <is>
          <t>本表为第三方整理，非 Kat Norton 本人或其团队发布；做法基于公开报道与可观察到的内容规律，未引用未经证实的经营数据。</t>
        </is>
      </c>
    </row>
  </sheetData>
  <pageMargins left="0.75" right="0.75" top="1" bottom="1" header="0.5" footer="0.5"/>
</worksheet>
</file>

<file path=xl/worksheets/sheet2.xml><?xml version="1.0" encoding="utf-8"?>
<worksheet xmlns="http://schemas.openxmlformats.org/spreadsheetml/2006/main">
  <sheetPr>
    <tabColor rgb="00116B45"/>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18" customWidth="1" min="3" max="3"/>
    <col width="58" customWidth="1" min="4" max="4"/>
    <col width="26" customWidth="1" min="5" max="5"/>
    <col width="46" customWidth="1" min="6" max="6"/>
    <col width="11" customWidth="1" min="7" max="7"/>
  </cols>
  <sheetData>
    <row r="1">
      <c r="A1" s="6" t="inlineStr">
        <is>
          <t>Excel 方法库 · 19 个高频方法</t>
        </is>
      </c>
    </row>
    <row r="2">
      <c r="E2" s="7" t="inlineStr">
        <is>
          <t>平均掌握度</t>
        </is>
      </c>
      <c r="F2" s="5" t="str">
        <f>IF(COUNT(G5:G23)=0,"填右侧一列开始追踪",ROUND(AVERAGE(G5:G23),1)&amp;" / 5   已评 "&amp;COUNT(G5:G23)&amp;" / 19 项")</f>
        <v>填右侧一列开始追踪</v>
      </c>
    </row>
    <row r="4">
      <c r="A4" s="8" t="inlineStr">
        <is>
          <t>#</t>
        </is>
      </c>
      <c r="B4" s="8" t="inlineStr">
        <is>
          <t>分类</t>
        </is>
      </c>
      <c r="C4" s="8" t="inlineStr">
        <is>
          <t>方法</t>
        </is>
      </c>
      <c r="D4" s="8" t="inlineStr">
        <is>
          <t>怎么用</t>
        </is>
      </c>
      <c r="E4" s="8" t="inlineStr">
        <is>
          <t>快捷键 / 函数</t>
        </is>
      </c>
      <c r="F4" s="8" t="inlineStr">
        <is>
          <t>为什么值得学（也值得拍）</t>
        </is>
      </c>
      <c r="G4" s="8" t="inlineStr">
        <is>
          <t>掌握度 1-5</t>
        </is>
      </c>
    </row>
    <row r="5" ht="46" customHeight="1">
      <c r="A5" s="9" t="n">
        <v>1</v>
      </c>
      <c r="B5" s="9" t="inlineStr">
        <is>
          <t>清洗</t>
        </is>
      </c>
      <c r="C5" s="10" t="inlineStr">
        <is>
          <t>快速填充</t>
        </is>
      </c>
      <c r="D5" s="11" t="inlineStr">
        <is>
          <t>旁边一列手动写出 1–2 个想要的结果，按快捷键，Excel 自动推断规律填完整列。拆姓名、提手机号、合并地址、改大小写都能用。</t>
        </is>
      </c>
      <c r="E5" s="12" t="inlineStr">
        <is>
          <t>Ctrl + E</t>
        </is>
      </c>
      <c r="F5" s="11" t="inlineStr">
        <is>
          <t>零公式零门槛，五秒出结果。“魔法感”最强的一个，这类账号基本都靠它起量。</t>
        </is>
      </c>
      <c r="G5" s="13" t="n"/>
    </row>
    <row r="6" ht="46" customHeight="1">
      <c r="A6" s="9" t="n">
        <v>2</v>
      </c>
      <c r="B6" s="9" t="inlineStr">
        <is>
          <t>清洗</t>
        </is>
      </c>
      <c r="C6" s="10" t="inlineStr">
        <is>
          <t>文本拆分函数</t>
        </is>
      </c>
      <c r="D6" s="11" t="inlineStr">
        <is>
          <t>按分隔符一次拆成多列/多行；或取某个符号前后的内容。</t>
        </is>
      </c>
      <c r="E6" s="12" t="inlineStr">
        <is>
          <t>TEXTSPLIT / TEXTBEFORE / TEXTAFTER</t>
        </is>
      </c>
      <c r="F6" s="11" t="inlineStr">
        <is>
          <t>快速填充的可靠版：源数据一变结果自动更新，适合要交付给别人的表。</t>
        </is>
      </c>
      <c r="G6" s="13" t="n"/>
    </row>
    <row r="7" ht="46" customHeight="1">
      <c r="A7" s="9" t="n">
        <v>3</v>
      </c>
      <c r="B7" s="9" t="inlineStr">
        <is>
          <t>清洗</t>
        </is>
      </c>
      <c r="C7" s="10" t="inlineStr">
        <is>
          <t>Power Query</t>
        </is>
      </c>
      <c r="D7" s="11" t="inlineStr">
        <is>
          <t>数据 → 获取和转换。把清洗步骤录成流程，下月拿到新文件只需右键刷新。合并多工作簿、逆透视二维表都靠它。</t>
        </is>
      </c>
      <c r="E7" s="12" t="inlineStr">
        <is>
          <t>数据选项卡</t>
        </is>
      </c>
      <c r="F7" s="11" t="inlineStr">
        <is>
          <t>从“每月手动两小时”变成“点一下”。投入产出比最高，也是付费课程真正的卖点。</t>
        </is>
      </c>
      <c r="G7" s="13" t="n"/>
    </row>
    <row r="8" ht="46" customHeight="1">
      <c r="A8" s="9" t="n">
        <v>4</v>
      </c>
      <c r="B8" s="9" t="inlineStr">
        <is>
          <t>清洗</t>
        </is>
      </c>
      <c r="C8" s="10" t="inlineStr">
        <is>
          <t>超级表</t>
        </is>
      </c>
      <c r="D8" s="11" t="inlineStr">
        <is>
          <t>选中区域转为表。公式自动向下填充、范围自动扩展、可用列名代替 A:B 引用。</t>
        </is>
      </c>
      <c r="E8" s="12" t="inlineStr">
        <is>
          <t>Ctrl + T</t>
        </is>
      </c>
      <c r="F8" s="11" t="inlineStr">
        <is>
          <t>后续所有操作（透视表、图表、公式）的地基。不套表，后面每一步都要返工。</t>
        </is>
      </c>
      <c r="G8" s="13" t="n"/>
    </row>
    <row r="9" ht="46" customHeight="1">
      <c r="A9" s="9" t="n">
        <v>5</v>
      </c>
      <c r="B9" s="9" t="inlineStr">
        <is>
          <t>查找</t>
        </is>
      </c>
      <c r="C9" s="10" t="inlineStr">
        <is>
          <t>XLOOKUP</t>
        </is>
      </c>
      <c r="D9" s="11">
        <f>XLOOKUP(查什么, 在哪列查, 返回哪列, "没找到")。可向左查、可从下往上查、自带兜底提示。</f>
        <v/>
      </c>
      <c r="E9" s="12" t="inlineStr">
        <is>
          <t>XLOOKUP</t>
        </is>
      </c>
      <c r="F9" s="11" t="inlineStr">
        <is>
          <t>直接替代 VLOOKUP，参数更少、插入列不错位。“再也不用数第几列”是极强的钩子。</t>
        </is>
      </c>
      <c r="G9" s="13" t="n"/>
    </row>
    <row r="10" ht="46" customHeight="1">
      <c r="A10" s="9" t="n">
        <v>6</v>
      </c>
      <c r="B10" s="9" t="inlineStr">
        <is>
          <t>查找</t>
        </is>
      </c>
      <c r="C10" s="10" t="inlineStr">
        <is>
          <t>动态数组三件套</t>
        </is>
      </c>
      <c r="D10" s="11" t="inlineStr">
        <is>
          <t>按条件抽出所有符合的行、去重、排序，三个可以嵌套使用。</t>
        </is>
      </c>
      <c r="E10" s="12" t="inlineStr">
        <is>
          <t>FILTER / UNIQUE / SORT</t>
        </is>
      </c>
      <c r="F10" s="11" t="inlineStr">
        <is>
          <t>一个公式产出一整张会自动更新的结果表。视觉冲击最强——回车一下几十行凭空出现。</t>
        </is>
      </c>
      <c r="G10" s="13" t="n"/>
    </row>
    <row r="11" ht="46" customHeight="1">
      <c r="A11" s="9" t="n">
        <v>7</v>
      </c>
      <c r="B11" s="9" t="inlineStr">
        <is>
          <t>查找</t>
        </is>
      </c>
      <c r="C11" s="10" t="inlineStr">
        <is>
          <t>LET / LAMBDA</t>
        </is>
      </c>
      <c r="D11" s="11" t="inlineStr">
        <is>
          <t>LET 给中间计算命名，长公式立刻变清楚；LAMBDA 把常用逻辑封装成自定义函数全表复用。</t>
        </is>
      </c>
      <c r="E11" s="12" t="inlineStr">
        <is>
          <t>LET / LAMBDA</t>
        </is>
      </c>
      <c r="F11" s="11" t="inlineStr">
        <is>
          <t>进阶内容的天花板，用来筛出愿意付费的高级用户。日常不必用，但秀出来很有说服力。</t>
        </is>
      </c>
      <c r="G11" s="13" t="n"/>
    </row>
    <row r="12" ht="46" customHeight="1">
      <c r="A12" s="9" t="n">
        <v>8</v>
      </c>
      <c r="B12" s="9" t="inlineStr">
        <is>
          <t>汇总</t>
        </is>
      </c>
      <c r="C12" s="10" t="inlineStr">
        <is>
          <t>一键求和</t>
        </is>
      </c>
      <c r="D12" s="11" t="inlineStr">
        <is>
          <t>选中数据区域（含空白的合计行列），一键生成行列合计。</t>
        </is>
      </c>
      <c r="E12" s="12" t="inlineStr">
        <is>
          <t>Alt + =</t>
        </is>
      </c>
      <c r="F12" s="11" t="inlineStr">
        <is>
          <t>三秒钟的技巧，覆盖人群最广，几乎人人立刻用得上。</t>
        </is>
      </c>
      <c r="G12" s="13" t="n"/>
    </row>
    <row r="13" ht="46" customHeight="1">
      <c r="A13" s="9" t="n">
        <v>9</v>
      </c>
      <c r="B13" s="9" t="inlineStr">
        <is>
          <t>汇总</t>
        </is>
      </c>
      <c r="C13" s="10" t="inlineStr">
        <is>
          <t>透视表 + 切片器</t>
        </is>
      </c>
      <c r="D13" s="11" t="inlineStr">
        <is>
          <t>插入数据透视表拖字段成表；再插入切片器，做成点击即筛的看板。</t>
        </is>
      </c>
      <c r="E13" s="12" t="inlineStr">
        <is>
          <t>插入选项卡</t>
        </is>
      </c>
      <c r="F13" s="11" t="inlineStr">
        <is>
          <t>从明细到结论的核心工具。配切片器就有了仪表盘观感，是免费内容引向付费课的天然入口。</t>
        </is>
      </c>
      <c r="G13" s="13" t="n"/>
    </row>
    <row r="14" ht="46" customHeight="1">
      <c r="A14" s="9" t="n">
        <v>10</v>
      </c>
      <c r="B14" s="9" t="inlineStr">
        <is>
          <t>汇总</t>
        </is>
      </c>
      <c r="C14" s="10" t="inlineStr">
        <is>
          <t>SUMIFS / COUNTIFS</t>
        </is>
      </c>
      <c r="D14" s="11">
        <f>SUMIFS(求和列, 条件列1, 条件1, 条件列2, 条件2)，多条件累加/计数。</f>
        <v/>
      </c>
      <c r="E14" s="12" t="inlineStr">
        <is>
          <t>SUMIFS / COUNTIFS</t>
        </is>
      </c>
      <c r="F14" s="11" t="inlineStr">
        <is>
          <t>业务表里最常见的需求。比透视表更适合放进固定报表模板。</t>
        </is>
      </c>
      <c r="G14" s="13" t="n"/>
    </row>
    <row r="15" ht="46" customHeight="1">
      <c r="A15" s="9" t="n">
        <v>11</v>
      </c>
      <c r="B15" s="9" t="inlineStr">
        <is>
          <t>提速</t>
        </is>
      </c>
      <c r="C15" s="10" t="inlineStr">
        <is>
          <t>F4</t>
        </is>
      </c>
      <c r="D15" s="11" t="inlineStr">
        <is>
          <t>重复上一次操作（连续插行、连续填色）；编辑公式时在 A1 / $A$1 / A$1 之间循环切换。</t>
        </is>
      </c>
      <c r="E15" s="12" t="inlineStr">
        <is>
          <t>F4</t>
        </is>
      </c>
      <c r="F15" s="11" t="inlineStr">
        <is>
          <t>一个键两种用途，“老手感”最集中的一个键。</t>
        </is>
      </c>
      <c r="G15" s="13" t="n"/>
    </row>
    <row r="16" ht="46" customHeight="1">
      <c r="A16" s="9" t="n">
        <v>12</v>
      </c>
      <c r="B16" s="9" t="inlineStr">
        <is>
          <t>提速</t>
        </is>
      </c>
      <c r="C16" s="10" t="inlineStr">
        <is>
          <t>区域跳转与选取</t>
        </is>
      </c>
      <c r="D16" s="11" t="inlineStr">
        <is>
          <t>跳到数据边缘；加 Shift 变成选中整段；一键开关筛选。</t>
        </is>
      </c>
      <c r="E16" s="12" t="inlineStr">
        <is>
          <t>Ctrl + 方向键 / +Shift / Ctrl+Shift+L</t>
        </is>
      </c>
      <c r="F16" s="11" t="inlineStr">
        <is>
          <t>十万行数据里不再拖滚动条。和拖拽的对比画面，天然适合做前后对照。</t>
        </is>
      </c>
      <c r="G16" s="13" t="n"/>
    </row>
    <row r="17" ht="46" customHeight="1">
      <c r="A17" s="9" t="n">
        <v>13</v>
      </c>
      <c r="B17" s="9" t="inlineStr">
        <is>
          <t>提速</t>
        </is>
      </c>
      <c r="C17" s="10" t="inlineStr">
        <is>
          <t>粘贴值 / 选择性粘贴</t>
        </is>
      </c>
      <c r="D17" s="11" t="inlineStr">
        <is>
          <t>直接粘为数值；选择性粘贴里还能“转置”行列互换、“运算”批量乘除。</t>
        </is>
      </c>
      <c r="E17" s="12" t="inlineStr">
        <is>
          <t>Ctrl + Shift + V</t>
        </is>
      </c>
      <c r="F17" s="11" t="inlineStr">
        <is>
          <t>解决“复制过去公式就乱”这个全民痛点。转置那一下的动画效果尤其抓人。</t>
        </is>
      </c>
      <c r="G17" s="13" t="n"/>
    </row>
    <row r="18" ht="46" customHeight="1">
      <c r="A18" s="9" t="n">
        <v>14</v>
      </c>
      <c r="B18" s="9" t="inlineStr">
        <is>
          <t>提速</t>
        </is>
      </c>
      <c r="C18" s="10" t="inlineStr">
        <is>
          <t>快速访问工具栏</t>
        </is>
      </c>
      <c r="D18" s="11" t="inlineStr">
        <is>
          <t>把最常用的五六个命令拖到左上角工具栏，之后用数字键触发。</t>
        </is>
      </c>
      <c r="E18" s="12" t="inlineStr">
        <is>
          <t>Alt + 1…9</t>
        </is>
      </c>
      <c r="F18" s="11" t="inlineStr">
        <is>
          <t>把个人习惯变成快捷键，别人学不走却看得见，适合做“我的工作台”系列。</t>
        </is>
      </c>
      <c r="G18" s="13" t="n"/>
    </row>
    <row r="19" ht="46" customHeight="1">
      <c r="A19" s="9" t="n">
        <v>15</v>
      </c>
      <c r="B19" s="9" t="inlineStr">
        <is>
          <t>提速</t>
        </is>
      </c>
      <c r="C19" s="10" t="inlineStr">
        <is>
          <t>单元格内换行</t>
        </is>
      </c>
      <c r="D19" s="11" t="inlineStr">
        <is>
          <t>在单元格里换行而不跳到下一格。</t>
        </is>
      </c>
      <c r="E19" s="12" t="inlineStr">
        <is>
          <t>Alt + Enter</t>
        </is>
      </c>
      <c r="F19" s="11" t="inlineStr">
        <is>
          <t>最短的一条视频，也是被搜索最多的问题之一。低成本高覆盖。</t>
        </is>
      </c>
      <c r="G19" s="13" t="n"/>
    </row>
    <row r="20" ht="46" customHeight="1">
      <c r="A20" s="9" t="n">
        <v>16</v>
      </c>
      <c r="B20" s="9" t="inlineStr">
        <is>
          <t>呈现</t>
        </is>
      </c>
      <c r="C20" s="10" t="inlineStr">
        <is>
          <t>条件格式</t>
        </is>
      </c>
      <c r="D20" s="11" t="inlineStr">
        <is>
          <t>数据条、色阶、图标集，或用公式规则整行高亮（如 =$D2&gt;100）。</t>
        </is>
      </c>
      <c r="E20" s="12" t="inlineStr">
        <is>
          <t>开始 → 条件格式</t>
        </is>
      </c>
      <c r="F20" s="11" t="inlineStr">
        <is>
          <t>让表格“自己说话”。前后对比一眼可见，是转化率最高的呈现类内容。</t>
        </is>
      </c>
      <c r="G20" s="13" t="n"/>
    </row>
    <row r="21" ht="46" customHeight="1">
      <c r="A21" s="9" t="n">
        <v>17</v>
      </c>
      <c r="B21" s="9" t="inlineStr">
        <is>
          <t>呈现</t>
        </is>
      </c>
      <c r="C21" s="10" t="inlineStr">
        <is>
          <t>自定义数字格式</t>
        </is>
      </c>
      <c r="D21" s="11" t="inlineStr">
        <is>
          <t>格式代码 0.0,,"M" 把 1,200,000 显示成 1.2M；[红色]-0.0%;[绿色]0.0% 做涨跌配色。</t>
        </is>
      </c>
      <c r="E21" s="12" t="inlineStr">
        <is>
          <t>Ctrl + 1</t>
        </is>
      </c>
      <c r="F21" s="11" t="inlineStr">
        <is>
          <t>只改显示不改数值，报表瞬间专业。属于“知道的人不多但人人用得上”的黄金区间。</t>
        </is>
      </c>
      <c r="G21" s="13" t="n"/>
    </row>
    <row r="22" ht="46" customHeight="1">
      <c r="A22" s="9" t="n">
        <v>18</v>
      </c>
      <c r="B22" s="9" t="inlineStr">
        <is>
          <t>校验</t>
        </is>
      </c>
      <c r="C22" s="10" t="inlineStr">
        <is>
          <t>数据验证下拉</t>
        </is>
      </c>
      <c r="D22" s="11" t="inlineStr">
        <is>
          <t>数据 → 数据验证 → 序列，来源指向一列选项，做成下拉菜单。</t>
        </is>
      </c>
      <c r="E22" s="12" t="inlineStr">
        <is>
          <t>数据 → 数据验证</t>
        </is>
      </c>
      <c r="F22" s="11" t="inlineStr">
        <is>
          <t>从源头杜绝录入错误。所有模板类产品的标配功能。</t>
        </is>
      </c>
      <c r="G22" s="13" t="n"/>
    </row>
    <row r="23" ht="46" customHeight="1">
      <c r="A23" s="9" t="n">
        <v>19</v>
      </c>
      <c r="B23" s="9" t="inlineStr">
        <is>
          <t>校验</t>
        </is>
      </c>
      <c r="C23" s="10" t="inlineStr">
        <is>
          <t>公式排错</t>
        </is>
      </c>
      <c r="D23" s="11" t="inlineStr">
        <is>
          <t>一键显示全表公式；选中公式片段看这一段算出什么；追踪引用单元格看依赖关系。</t>
        </is>
      </c>
      <c r="E23" s="12" t="inlineStr">
        <is>
          <t>Ctrl + ` / F9</t>
        </is>
      </c>
      <c r="F23" s="11" t="inlineStr">
        <is>
          <t>面向“表算错了但找不到哪错”的人群，情绪价值极高，评论区互动最活跃。</t>
        </is>
      </c>
      <c r="G23" s="13" t="n"/>
    </row>
  </sheetData>
  <autoFilter ref="A4:G23"/>
  <dataValidations count="1">
    <dataValidation sqref="G5 G6 G7 G8 G9 G10 G11 G12 G13 G14 G15 G16 G17 G18 G19 G20 G21 G22 G23" showDropDown="0" showInputMessage="0" showErrorMessage="0" allowBlank="1" promptTitle="掌握度" prompt="填 1–5：1=没听过，3=会用，5=能讲给别人听" type="whole" operator="between">
      <formula1>1</formula1>
      <formula2>5</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16B45"/>
    <outlinePr summaryBelow="1" summaryRight="1"/>
    <pageSetUpPr/>
  </sheetPr>
  <dimension ref="A1:C17"/>
  <sheetViews>
    <sheetView showGridLines="0" workbookViewId="0">
      <selection activeCell="A1" sqref="A1"/>
    </sheetView>
  </sheetViews>
  <sheetFormatPr baseColWidth="8" defaultRowHeight="15"/>
  <cols>
    <col width="16" customWidth="1" min="1" max="1"/>
    <col width="34" customWidth="1" min="2" max="2"/>
    <col width="62" customWidth="1" min="3" max="3"/>
  </cols>
  <sheetData>
    <row r="1">
      <c r="A1" s="6" t="inlineStr">
        <is>
          <t>单条视频的四段结构</t>
        </is>
      </c>
    </row>
    <row r="3">
      <c r="A3" s="8" t="inlineStr">
        <is>
          <t>时间轴</t>
        </is>
      </c>
      <c r="B3" s="8" t="inlineStr">
        <is>
          <t>这一段干什么</t>
        </is>
      </c>
      <c r="C3" s="8" t="inlineStr">
        <is>
          <t>具体要求</t>
        </is>
      </c>
    </row>
    <row r="4" ht="52" customHeight="1">
      <c r="A4" s="14" t="inlineStr">
        <is>
          <t>0:00 – 0:01</t>
        </is>
      </c>
      <c r="B4" s="10" t="inlineStr">
        <is>
          <t>钩子：结果先行</t>
        </is>
      </c>
      <c r="C4" s="11" t="inlineStr">
        <is>
          <t>第一帧就是爽点或痛点的画面，不是自我介绍。「一列姓名，3 秒拆成两列」——先给承诺再给过程。任何开场白都是流量杀手。</t>
        </is>
      </c>
    </row>
    <row r="5" ht="52" customHeight="1">
      <c r="A5" s="14" t="inlineStr">
        <is>
          <t>0:01 – 0:03</t>
        </is>
      </c>
      <c r="B5" s="10" t="inlineStr">
        <is>
          <t>视觉签名 + 卡点</t>
        </is>
      </c>
      <c r="C5" s="11" t="inlineStr">
        <is>
          <t>一个动作转场落在音乐第一个重拍上。这一秒不传递信息，只传递“这个人是谁、这条值得看完”。</t>
        </is>
      </c>
    </row>
    <row r="6" ht="52" customHeight="1">
      <c r="A6" s="14" t="inlineStr">
        <is>
          <t>0:03 – 0:20</t>
        </is>
      </c>
      <c r="B6" s="10" t="inlineStr">
        <is>
          <t>一条视频 = 一个技巧</t>
        </is>
      </c>
      <c r="C6" s="11" t="inlineStr">
        <is>
          <t>步骤不超过三步，屏幕录制放大到手机上看得清，每步一个大字幕。绝不在一条里塞两个知识点。</t>
        </is>
      </c>
    </row>
    <row r="7" ht="52" customHeight="1">
      <c r="A7" s="14" t="inlineStr">
        <is>
          <t>0:20 – 结束</t>
        </is>
      </c>
      <c r="B7" s="10" t="inlineStr">
        <is>
          <t>循环钩，而不是求关注</t>
        </is>
      </c>
      <c r="C7" s="11" t="inlineStr">
        <is>
          <t>抛下一个悬念，或直接回到第一帧形成循环播放。“点赞关注”是索取，悬念是给予。</t>
        </is>
      </c>
    </row>
    <row r="9">
      <c r="A9" s="15" t="inlineStr">
        <is>
          <t>三条硬规则</t>
        </is>
      </c>
    </row>
    <row r="10" ht="44" customHeight="1">
      <c r="A10" s="16" t="inlineStr">
        <is>
          <t>▸</t>
        </is>
      </c>
      <c r="B10" s="10" t="inlineStr">
        <is>
          <t>音频优先，内容后填</t>
        </is>
      </c>
      <c r="C10" s="11" t="inlineStr">
        <is>
          <t>先挑一条最近 3–5 天使用量快速上升的热门音频，再决定这条讲哪个技巧、动作卡在哪个鼓点。音频是分发红利，节拍是剪辑节奏表。</t>
        </is>
      </c>
    </row>
    <row r="11" ht="44" customHeight="1">
      <c r="A11" s="16" t="inlineStr">
        <is>
          <t>▸</t>
        </is>
      </c>
      <c r="B11" s="10" t="inlineStr">
        <is>
          <t>静音可懂</t>
        </is>
      </c>
      <c r="C11" s="11" t="inlineStr">
        <is>
          <t>全程大字幕，关键结果用高对比色块框出。判断标准：关掉声音自己看一遍，看不懂就重做。</t>
        </is>
      </c>
    </row>
    <row r="12" ht="44" customHeight="1">
      <c r="A12" s="16" t="inlineStr">
        <is>
          <t>▸</t>
        </is>
      </c>
      <c r="B12" s="10" t="inlineStr">
        <is>
          <t>真实界面出镜</t>
        </is>
      </c>
      <c r="C12" s="11" t="inlineStr">
        <is>
          <t>不用抽象动画，直接录真实界面，鼠标怎么动都保留。做完的效果最后再完整闪一次，方便观众截图。</t>
        </is>
      </c>
    </row>
    <row r="14">
      <c r="A14" s="15" t="inlineStr">
        <is>
          <t>只看三个数</t>
        </is>
      </c>
    </row>
    <row r="15" ht="32" customHeight="1">
      <c r="A15" s="17" t="inlineStr">
        <is>
          <t>收藏率</t>
        </is>
      </c>
      <c r="B15" s="11" t="inlineStr">
        <is>
          <t>北极星。教程类内容的收藏＝“我以后要用”，比点赞诚实得多。</t>
        </is>
      </c>
      <c r="C15" s="18" t="n"/>
    </row>
    <row r="16" ht="32" customHeight="1">
      <c r="A16" s="17" t="inlineStr">
        <is>
          <t>3 秒留存</t>
        </is>
      </c>
      <c r="B16" s="11" t="inlineStr">
        <is>
          <t>钩子有没有立住。低于同行，先改第一帧，别改内容。</t>
        </is>
      </c>
      <c r="C16" s="18" t="n"/>
    </row>
    <row r="17" ht="32" customHeight="1">
      <c r="A17" s="17" t="inlineStr">
        <is>
          <t>评论提问数</t>
        </is>
      </c>
      <c r="B17" s="11" t="inlineStr">
        <is>
          <t>选题池有没有被喂饱。每条“那如果……怎么办”都是下一条视频。</t>
        </is>
      </c>
      <c r="C17" s="18" t="n"/>
    </row>
  </sheetData>
  <mergeCells count="3">
    <mergeCell ref="B16:C16"/>
    <mergeCell ref="B15:C15"/>
    <mergeCell ref="B17:C17"/>
  </mergeCells>
  <pageMargins left="0.75" right="0.75" top="1" bottom="1" header="0.5" footer="0.5"/>
</worksheet>
</file>

<file path=xl/worksheets/sheet4.xml><?xml version="1.0" encoding="utf-8"?>
<worksheet xmlns="http://schemas.openxmlformats.org/spreadsheetml/2006/main">
  <sheetPr>
    <tabColor rgb="00116B45"/>
    <outlinePr summaryBelow="1" summaryRight="1"/>
    <pageSetUpPr/>
  </sheetPr>
  <dimension ref="A1:H34"/>
  <sheetViews>
    <sheetView showGridLines="0" workbookViewId="0">
      <pane ySplit="4" topLeftCell="A5" activePane="bottomLeft" state="frozen"/>
      <selection pane="bottomLeft" activeCell="A1" sqref="A1"/>
    </sheetView>
  </sheetViews>
  <sheetFormatPr baseColWidth="8" defaultRowHeight="15"/>
  <cols>
    <col width="5" customWidth="1" min="1" max="1"/>
    <col width="46" customWidth="1" min="2" max="2"/>
    <col width="10" customWidth="1" min="3" max="3"/>
    <col width="10" customWidth="1" min="4" max="4"/>
    <col width="10" customWidth="1" min="5" max="5"/>
    <col width="8" customWidth="1" min="6" max="6"/>
    <col width="16" customWidth="1" min="7" max="7"/>
    <col width="18" customWidth="1" min="8" max="8"/>
  </cols>
  <sheetData>
    <row r="1">
      <c r="A1" s="6" t="inlineStr">
        <is>
          <t>选题池 · 高频 × 高痛 × 低步骤</t>
        </is>
      </c>
    </row>
    <row r="2">
      <c r="A2" s="2" t="inlineStr">
        <is>
          <t>蓝色字的四列自己填。总分和建议会自动算：总分＝高频＋高痛＋(6−步骤数)，满分 15。</t>
        </is>
      </c>
    </row>
    <row r="3">
      <c r="F3" s="5" t="str">
        <f>COUNTIF(G5:G34,"立刻拍")&amp;" 条可拍"</f>
        <v>1 条可拍</v>
      </c>
    </row>
    <row r="4">
      <c r="A4" s="8" t="inlineStr">
        <is>
          <t>#</t>
        </is>
      </c>
      <c r="B4" s="8" t="inlineStr">
        <is>
          <t>选题（用观众的话写，不要用术语）</t>
        </is>
      </c>
      <c r="C4" s="8" t="inlineStr">
        <is>
          <t>高频 1-5</t>
        </is>
      </c>
      <c r="D4" s="8" t="inlineStr">
        <is>
          <t>高痛 1-5</t>
        </is>
      </c>
      <c r="E4" s="8" t="inlineStr">
        <is>
          <t>需要几步</t>
        </is>
      </c>
      <c r="F4" s="8" t="inlineStr">
        <is>
          <t>总分</t>
        </is>
      </c>
      <c r="G4" s="8" t="inlineStr">
        <is>
          <t>建议</t>
        </is>
      </c>
      <c r="H4" s="8" t="inlineStr">
        <is>
          <t>来源</t>
        </is>
      </c>
    </row>
    <row r="5">
      <c r="A5" s="9" t="n">
        <v>1</v>
      </c>
      <c r="B5" s="19" t="inlineStr">
        <is>
          <t>怎么把一列姓名拆成姓和名</t>
        </is>
      </c>
      <c r="C5" s="13" t="n">
        <v>5</v>
      </c>
      <c r="D5" s="13" t="n">
        <v>4</v>
      </c>
      <c r="E5" s="13" t="n">
        <v>2</v>
      </c>
      <c r="F5" s="9">
        <f>IF(COUNT(C5:E5)&lt;3,"",C5+D5+(6-E5))</f>
        <v>13</v>
      </c>
      <c r="G5" s="9" t="str">
        <f>IF(F5="","",IF(AND(F5&gt;=11,E5&lt;=3),"立刻拍",IF(F5&gt;=9,"进备用池","放弃")))</f>
        <v>立刻拍</v>
      </c>
      <c r="H5" s="20" t="inlineStr">
        <is>
          <t>评论区</t>
        </is>
      </c>
    </row>
    <row r="6">
      <c r="A6" s="9" t="n">
        <v>2</v>
      </c>
      <c r="B6" s="19" t="n"/>
      <c r="C6" s="13" t="n"/>
      <c r="D6" s="13" t="n"/>
      <c r="E6" s="13" t="n"/>
      <c r="F6" s="9" t="str">
        <f>IF(COUNT(C6:E6)&lt;3,"",C6+D6+(6-E6))</f>
        <v/>
      </c>
      <c r="G6" s="9" t="str">
        <f>IF(F6="","",IF(AND(F6&gt;=11,E6&lt;=3),"立刻拍",IF(F6&gt;=9,"进备用池","放弃")))</f>
        <v/>
      </c>
      <c r="H6" s="20" t="n"/>
    </row>
    <row r="7">
      <c r="A7" s="9" t="n">
        <v>3</v>
      </c>
      <c r="B7" s="19" t="n"/>
      <c r="C7" s="13" t="n"/>
      <c r="D7" s="13" t="n"/>
      <c r="E7" s="13" t="n"/>
      <c r="F7" s="9" t="str">
        <f>IF(COUNT(C7:E7)&lt;3,"",C7+D7+(6-E7))</f>
        <v/>
      </c>
      <c r="G7" s="9" t="str">
        <f>IF(F7="","",IF(AND(F7&gt;=11,E7&lt;=3),"立刻拍",IF(F7&gt;=9,"进备用池","放弃")))</f>
        <v/>
      </c>
      <c r="H7" s="20" t="n"/>
    </row>
    <row r="8">
      <c r="A8" s="9" t="n">
        <v>4</v>
      </c>
      <c r="B8" s="19" t="n"/>
      <c r="C8" s="13" t="n"/>
      <c r="D8" s="13" t="n"/>
      <c r="E8" s="13" t="n"/>
      <c r="F8" s="9" t="str">
        <f>IF(COUNT(C8:E8)&lt;3,"",C8+D8+(6-E8))</f>
        <v/>
      </c>
      <c r="G8" s="9" t="str">
        <f>IF(F8="","",IF(AND(F8&gt;=11,E8&lt;=3),"立刻拍",IF(F8&gt;=9,"进备用池","放弃")))</f>
        <v/>
      </c>
      <c r="H8" s="20" t="n"/>
    </row>
    <row r="9">
      <c r="A9" s="9" t="n">
        <v>5</v>
      </c>
      <c r="B9" s="19" t="n"/>
      <c r="C9" s="13" t="n"/>
      <c r="D9" s="13" t="n"/>
      <c r="E9" s="13" t="n"/>
      <c r="F9" s="9" t="str">
        <f>IF(COUNT(C9:E9)&lt;3,"",C9+D9+(6-E9))</f>
        <v/>
      </c>
      <c r="G9" s="9" t="str">
        <f>IF(F9="","",IF(AND(F9&gt;=11,E9&lt;=3),"立刻拍",IF(F9&gt;=9,"进备用池","放弃")))</f>
        <v/>
      </c>
      <c r="H9" s="20" t="n"/>
    </row>
    <row r="10">
      <c r="A10" s="9" t="n">
        <v>6</v>
      </c>
      <c r="B10" s="19" t="n"/>
      <c r="C10" s="13" t="n"/>
      <c r="D10" s="13" t="n"/>
      <c r="E10" s="13" t="n"/>
      <c r="F10" s="9" t="str">
        <f>IF(COUNT(C10:E10)&lt;3,"",C10+D10+(6-E10))</f>
        <v/>
      </c>
      <c r="G10" s="9" t="str">
        <f>IF(F10="","",IF(AND(F10&gt;=11,E10&lt;=3),"立刻拍",IF(F10&gt;=9,"进备用池","放弃")))</f>
        <v/>
      </c>
      <c r="H10" s="20" t="n"/>
    </row>
    <row r="11">
      <c r="A11" s="9" t="n">
        <v>7</v>
      </c>
      <c r="B11" s="19" t="n"/>
      <c r="C11" s="13" t="n"/>
      <c r="D11" s="13" t="n"/>
      <c r="E11" s="13" t="n"/>
      <c r="F11" s="9" t="str">
        <f>IF(COUNT(C11:E11)&lt;3,"",C11+D11+(6-E11))</f>
        <v/>
      </c>
      <c r="G11" s="9" t="str">
        <f>IF(F11="","",IF(AND(F11&gt;=11,E11&lt;=3),"立刻拍",IF(F11&gt;=9,"进备用池","放弃")))</f>
        <v/>
      </c>
      <c r="H11" s="20" t="n"/>
    </row>
    <row r="12">
      <c r="A12" s="9" t="n">
        <v>8</v>
      </c>
      <c r="B12" s="19" t="n"/>
      <c r="C12" s="13" t="n"/>
      <c r="D12" s="13" t="n"/>
      <c r="E12" s="13" t="n"/>
      <c r="F12" s="9" t="str">
        <f>IF(COUNT(C12:E12)&lt;3,"",C12+D12+(6-E12))</f>
        <v/>
      </c>
      <c r="G12" s="9" t="str">
        <f>IF(F12="","",IF(AND(F12&gt;=11,E12&lt;=3),"立刻拍",IF(F12&gt;=9,"进备用池","放弃")))</f>
        <v/>
      </c>
      <c r="H12" s="20" t="n"/>
    </row>
    <row r="13">
      <c r="A13" s="9" t="n">
        <v>9</v>
      </c>
      <c r="B13" s="19" t="n"/>
      <c r="C13" s="13" t="n"/>
      <c r="D13" s="13" t="n"/>
      <c r="E13" s="13" t="n"/>
      <c r="F13" s="9" t="str">
        <f>IF(COUNT(C13:E13)&lt;3,"",C13+D13+(6-E13))</f>
        <v/>
      </c>
      <c r="G13" s="9" t="str">
        <f>IF(F13="","",IF(AND(F13&gt;=11,E13&lt;=3),"立刻拍",IF(F13&gt;=9,"进备用池","放弃")))</f>
        <v/>
      </c>
      <c r="H13" s="20" t="n"/>
    </row>
    <row r="14">
      <c r="A14" s="9" t="n">
        <v>10</v>
      </c>
      <c r="B14" s="19" t="n"/>
      <c r="C14" s="13" t="n"/>
      <c r="D14" s="13" t="n"/>
      <c r="E14" s="13" t="n"/>
      <c r="F14" s="9" t="str">
        <f>IF(COUNT(C14:E14)&lt;3,"",C14+D14+(6-E14))</f>
        <v/>
      </c>
      <c r="G14" s="9" t="str">
        <f>IF(F14="","",IF(AND(F14&gt;=11,E14&lt;=3),"立刻拍",IF(F14&gt;=9,"进备用池","放弃")))</f>
        <v/>
      </c>
      <c r="H14" s="20" t="n"/>
    </row>
    <row r="15">
      <c r="A15" s="9" t="n">
        <v>11</v>
      </c>
      <c r="B15" s="19" t="n"/>
      <c r="C15" s="13" t="n"/>
      <c r="D15" s="13" t="n"/>
      <c r="E15" s="13" t="n"/>
      <c r="F15" s="9" t="str">
        <f>IF(COUNT(C15:E15)&lt;3,"",C15+D15+(6-E15))</f>
        <v/>
      </c>
      <c r="G15" s="9" t="str">
        <f>IF(F15="","",IF(AND(F15&gt;=11,E15&lt;=3),"立刻拍",IF(F15&gt;=9,"进备用池","放弃")))</f>
        <v/>
      </c>
      <c r="H15" s="20" t="n"/>
    </row>
    <row r="16">
      <c r="A16" s="9" t="n">
        <v>12</v>
      </c>
      <c r="B16" s="19" t="n"/>
      <c r="C16" s="13" t="n"/>
      <c r="D16" s="13" t="n"/>
      <c r="E16" s="13" t="n"/>
      <c r="F16" s="9" t="str">
        <f>IF(COUNT(C16:E16)&lt;3,"",C16+D16+(6-E16))</f>
        <v/>
      </c>
      <c r="G16" s="9" t="str">
        <f>IF(F16="","",IF(AND(F16&gt;=11,E16&lt;=3),"立刻拍",IF(F16&gt;=9,"进备用池","放弃")))</f>
        <v/>
      </c>
      <c r="H16" s="20" t="n"/>
    </row>
    <row r="17">
      <c r="A17" s="9" t="n">
        <v>13</v>
      </c>
      <c r="B17" s="19" t="n"/>
      <c r="C17" s="13" t="n"/>
      <c r="D17" s="13" t="n"/>
      <c r="E17" s="13" t="n"/>
      <c r="F17" s="9" t="str">
        <f>IF(COUNT(C17:E17)&lt;3,"",C17+D17+(6-E17))</f>
        <v/>
      </c>
      <c r="G17" s="9" t="str">
        <f>IF(F17="","",IF(AND(F17&gt;=11,E17&lt;=3),"立刻拍",IF(F17&gt;=9,"进备用池","放弃")))</f>
        <v/>
      </c>
      <c r="H17" s="20" t="n"/>
    </row>
    <row r="18">
      <c r="A18" s="9" t="n">
        <v>14</v>
      </c>
      <c r="B18" s="19" t="n"/>
      <c r="C18" s="13" t="n"/>
      <c r="D18" s="13" t="n"/>
      <c r="E18" s="13" t="n"/>
      <c r="F18" s="9" t="str">
        <f>IF(COUNT(C18:E18)&lt;3,"",C18+D18+(6-E18))</f>
        <v/>
      </c>
      <c r="G18" s="9" t="str">
        <f>IF(F18="","",IF(AND(F18&gt;=11,E18&lt;=3),"立刻拍",IF(F18&gt;=9,"进备用池","放弃")))</f>
        <v/>
      </c>
      <c r="H18" s="20" t="n"/>
    </row>
    <row r="19">
      <c r="A19" s="9" t="n">
        <v>15</v>
      </c>
      <c r="B19" s="19" t="n"/>
      <c r="C19" s="13" t="n"/>
      <c r="D19" s="13" t="n"/>
      <c r="E19" s="13" t="n"/>
      <c r="F19" s="9" t="str">
        <f>IF(COUNT(C19:E19)&lt;3,"",C19+D19+(6-E19))</f>
        <v/>
      </c>
      <c r="G19" s="9" t="str">
        <f>IF(F19="","",IF(AND(F19&gt;=11,E19&lt;=3),"立刻拍",IF(F19&gt;=9,"进备用池","放弃")))</f>
        <v/>
      </c>
      <c r="H19" s="20" t="n"/>
    </row>
    <row r="20">
      <c r="A20" s="9" t="n">
        <v>16</v>
      </c>
      <c r="B20" s="19" t="n"/>
      <c r="C20" s="13" t="n"/>
      <c r="D20" s="13" t="n"/>
      <c r="E20" s="13" t="n"/>
      <c r="F20" s="9" t="str">
        <f>IF(COUNT(C20:E20)&lt;3,"",C20+D20+(6-E20))</f>
        <v/>
      </c>
      <c r="G20" s="9" t="str">
        <f>IF(F20="","",IF(AND(F20&gt;=11,E20&lt;=3),"立刻拍",IF(F20&gt;=9,"进备用池","放弃")))</f>
        <v/>
      </c>
      <c r="H20" s="20" t="n"/>
    </row>
    <row r="21">
      <c r="A21" s="9" t="n">
        <v>17</v>
      </c>
      <c r="B21" s="19" t="n"/>
      <c r="C21" s="13" t="n"/>
      <c r="D21" s="13" t="n"/>
      <c r="E21" s="13" t="n"/>
      <c r="F21" s="9" t="str">
        <f>IF(COUNT(C21:E21)&lt;3,"",C21+D21+(6-E21))</f>
        <v/>
      </c>
      <c r="G21" s="9" t="str">
        <f>IF(F21="","",IF(AND(F21&gt;=11,E21&lt;=3),"立刻拍",IF(F21&gt;=9,"进备用池","放弃")))</f>
        <v/>
      </c>
      <c r="H21" s="20" t="n"/>
    </row>
    <row r="22">
      <c r="A22" s="9" t="n">
        <v>18</v>
      </c>
      <c r="B22" s="19" t="n"/>
      <c r="C22" s="13" t="n"/>
      <c r="D22" s="13" t="n"/>
      <c r="E22" s="13" t="n"/>
      <c r="F22" s="9" t="str">
        <f>IF(COUNT(C22:E22)&lt;3,"",C22+D22+(6-E22))</f>
        <v/>
      </c>
      <c r="G22" s="9" t="str">
        <f>IF(F22="","",IF(AND(F22&gt;=11,E22&lt;=3),"立刻拍",IF(F22&gt;=9,"进备用池","放弃")))</f>
        <v/>
      </c>
      <c r="H22" s="20" t="n"/>
    </row>
    <row r="23">
      <c r="A23" s="9" t="n">
        <v>19</v>
      </c>
      <c r="B23" s="19" t="n"/>
      <c r="C23" s="13" t="n"/>
      <c r="D23" s="13" t="n"/>
      <c r="E23" s="13" t="n"/>
      <c r="F23" s="9" t="str">
        <f>IF(COUNT(C23:E23)&lt;3,"",C23+D23+(6-E23))</f>
        <v/>
      </c>
      <c r="G23" s="9" t="str">
        <f>IF(F23="","",IF(AND(F23&gt;=11,E23&lt;=3),"立刻拍",IF(F23&gt;=9,"进备用池","放弃")))</f>
        <v/>
      </c>
      <c r="H23" s="20" t="n"/>
    </row>
    <row r="24">
      <c r="A24" s="9" t="n">
        <v>20</v>
      </c>
      <c r="B24" s="19" t="n"/>
      <c r="C24" s="13" t="n"/>
      <c r="D24" s="13" t="n"/>
      <c r="E24" s="13" t="n"/>
      <c r="F24" s="9" t="str">
        <f>IF(COUNT(C24:E24)&lt;3,"",C24+D24+(6-E24))</f>
        <v/>
      </c>
      <c r="G24" s="9" t="str">
        <f>IF(F24="","",IF(AND(F24&gt;=11,E24&lt;=3),"立刻拍",IF(F24&gt;=9,"进备用池","放弃")))</f>
        <v/>
      </c>
      <c r="H24" s="20" t="n"/>
    </row>
    <row r="25">
      <c r="A25" s="9" t="n">
        <v>21</v>
      </c>
      <c r="B25" s="19" t="n"/>
      <c r="C25" s="13" t="n"/>
      <c r="D25" s="13" t="n"/>
      <c r="E25" s="13" t="n"/>
      <c r="F25" s="9" t="str">
        <f>IF(COUNT(C25:E25)&lt;3,"",C25+D25+(6-E25))</f>
        <v/>
      </c>
      <c r="G25" s="9" t="str">
        <f>IF(F25="","",IF(AND(F25&gt;=11,E25&lt;=3),"立刻拍",IF(F25&gt;=9,"进备用池","放弃")))</f>
        <v/>
      </c>
      <c r="H25" s="20" t="n"/>
    </row>
    <row r="26">
      <c r="A26" s="9" t="n">
        <v>22</v>
      </c>
      <c r="B26" s="19" t="n"/>
      <c r="C26" s="13" t="n"/>
      <c r="D26" s="13" t="n"/>
      <c r="E26" s="13" t="n"/>
      <c r="F26" s="9" t="str">
        <f>IF(COUNT(C26:E26)&lt;3,"",C26+D26+(6-E26))</f>
        <v/>
      </c>
      <c r="G26" s="9" t="str">
        <f>IF(F26="","",IF(AND(F26&gt;=11,E26&lt;=3),"立刻拍",IF(F26&gt;=9,"进备用池","放弃")))</f>
        <v/>
      </c>
      <c r="H26" s="20" t="n"/>
    </row>
    <row r="27">
      <c r="A27" s="9" t="n">
        <v>23</v>
      </c>
      <c r="B27" s="19" t="n"/>
      <c r="C27" s="13" t="n"/>
      <c r="D27" s="13" t="n"/>
      <c r="E27" s="13" t="n"/>
      <c r="F27" s="9" t="str">
        <f>IF(COUNT(C27:E27)&lt;3,"",C27+D27+(6-E27))</f>
        <v/>
      </c>
      <c r="G27" s="9" t="str">
        <f>IF(F27="","",IF(AND(F27&gt;=11,E27&lt;=3),"立刻拍",IF(F27&gt;=9,"进备用池","放弃")))</f>
        <v/>
      </c>
      <c r="H27" s="20" t="n"/>
    </row>
    <row r="28">
      <c r="A28" s="9" t="n">
        <v>24</v>
      </c>
      <c r="B28" s="19" t="n"/>
      <c r="C28" s="13" t="n"/>
      <c r="D28" s="13" t="n"/>
      <c r="E28" s="13" t="n"/>
      <c r="F28" s="9" t="str">
        <f>IF(COUNT(C28:E28)&lt;3,"",C28+D28+(6-E28))</f>
        <v/>
      </c>
      <c r="G28" s="9" t="str">
        <f>IF(F28="","",IF(AND(F28&gt;=11,E28&lt;=3),"立刻拍",IF(F28&gt;=9,"进备用池","放弃")))</f>
        <v/>
      </c>
      <c r="H28" s="20" t="n"/>
    </row>
    <row r="29">
      <c r="A29" s="9" t="n">
        <v>25</v>
      </c>
      <c r="B29" s="19" t="n"/>
      <c r="C29" s="13" t="n"/>
      <c r="D29" s="13" t="n"/>
      <c r="E29" s="13" t="n"/>
      <c r="F29" s="9" t="str">
        <f>IF(COUNT(C29:E29)&lt;3,"",C29+D29+(6-E29))</f>
        <v/>
      </c>
      <c r="G29" s="9" t="str">
        <f>IF(F29="","",IF(AND(F29&gt;=11,E29&lt;=3),"立刻拍",IF(F29&gt;=9,"进备用池","放弃")))</f>
        <v/>
      </c>
      <c r="H29" s="20" t="n"/>
    </row>
    <row r="30">
      <c r="A30" s="9" t="n">
        <v>26</v>
      </c>
      <c r="B30" s="19" t="n"/>
      <c r="C30" s="13" t="n"/>
      <c r="D30" s="13" t="n"/>
      <c r="E30" s="13" t="n"/>
      <c r="F30" s="9" t="str">
        <f>IF(COUNT(C30:E30)&lt;3,"",C30+D30+(6-E30))</f>
        <v/>
      </c>
      <c r="G30" s="9" t="str">
        <f>IF(F30="","",IF(AND(F30&gt;=11,E30&lt;=3),"立刻拍",IF(F30&gt;=9,"进备用池","放弃")))</f>
        <v/>
      </c>
      <c r="H30" s="20" t="n"/>
    </row>
    <row r="31">
      <c r="A31" s="9" t="n">
        <v>27</v>
      </c>
      <c r="B31" s="19" t="n"/>
      <c r="C31" s="13" t="n"/>
      <c r="D31" s="13" t="n"/>
      <c r="E31" s="13" t="n"/>
      <c r="F31" s="9" t="str">
        <f>IF(COUNT(C31:E31)&lt;3,"",C31+D31+(6-E31))</f>
        <v/>
      </c>
      <c r="G31" s="9" t="str">
        <f>IF(F31="","",IF(AND(F31&gt;=11,E31&lt;=3),"立刻拍",IF(F31&gt;=9,"进备用池","放弃")))</f>
        <v/>
      </c>
      <c r="H31" s="20" t="n"/>
    </row>
    <row r="32">
      <c r="A32" s="9" t="n">
        <v>28</v>
      </c>
      <c r="B32" s="19" t="n"/>
      <c r="C32" s="13" t="n"/>
      <c r="D32" s="13" t="n"/>
      <c r="E32" s="13" t="n"/>
      <c r="F32" s="9" t="str">
        <f>IF(COUNT(C32:E32)&lt;3,"",C32+D32+(6-E32))</f>
        <v/>
      </c>
      <c r="G32" s="9" t="str">
        <f>IF(F32="","",IF(AND(F32&gt;=11,E32&lt;=3),"立刻拍",IF(F32&gt;=9,"进备用池","放弃")))</f>
        <v/>
      </c>
      <c r="H32" s="20" t="n"/>
    </row>
    <row r="33">
      <c r="A33" s="9" t="n">
        <v>29</v>
      </c>
      <c r="B33" s="19" t="n"/>
      <c r="C33" s="13" t="n"/>
      <c r="D33" s="13" t="n"/>
      <c r="E33" s="13" t="n"/>
      <c r="F33" s="9" t="str">
        <f>IF(COUNT(C33:E33)&lt;3,"",C33+D33+(6-E33))</f>
        <v/>
      </c>
      <c r="G33" s="9" t="str">
        <f>IF(F33="","",IF(AND(F33&gt;=11,E33&lt;=3),"立刻拍",IF(F33&gt;=9,"进备用池","放弃")))</f>
        <v/>
      </c>
      <c r="H33" s="20" t="n"/>
    </row>
    <row r="34">
      <c r="A34" s="9" t="n">
        <v>30</v>
      </c>
      <c r="B34" s="19" t="n"/>
      <c r="C34" s="13" t="n"/>
      <c r="D34" s="13" t="n"/>
      <c r="E34" s="13" t="n"/>
      <c r="F34" s="9" t="str">
        <f>IF(COUNT(C34:E34)&lt;3,"",C34+D34+(6-E34))</f>
        <v/>
      </c>
      <c r="G34" s="9" t="str">
        <f>IF(F34="","",IF(AND(F34&gt;=11,E34&lt;=3),"立刻拍",IF(F34&gt;=9,"进备用池","放弃")))</f>
        <v/>
      </c>
      <c r="H34" s="20" t="n"/>
    </row>
  </sheetData>
  <mergeCells count="1">
    <mergeCell ref="F3:G3"/>
  </mergeCells>
  <dataValidations count="3">
    <dataValidation sqref="C5 C6 C7 C8 C9 C10 C11 C12 C13 C14 C15 C16 C17 C18 C19 C20 C21 C22 C23 C24 C25 C26 C27 C28 C29 C30 C31 C32 C33 C34 D5 D6 D7 D8 D9 D10 D11 D12 D13 D14 D15 D16 D17 D18 D19 D20 D21 D22 D23 D24 D25 D26 D27 D28 D29 D30 D31 D32 D33 D34" showDropDown="0" showInputMessage="0" showErrorMessage="0" allowBlank="1" type="whole" operator="between">
      <formula1>1</formula1>
      <formula2>5</formula2>
    </dataValidation>
    <dataValidation sqref="E5 E6 E7 E8 E9 E10 E11 E12 E13 E14 E15 E16 E17 E18 E19 E20 E21 E22 E23 E24 E25 E26 E27 E28 E29 E30 E31 E32 E33 E34" showDropDown="0" showInputMessage="0" showErrorMessage="0" allowBlank="1" type="whole" operator="between">
      <formula1>1</formula1>
      <formula2>9</formula2>
    </dataValidation>
    <dataValidation sqref="H5 H6 H7 H8 H9 H10 H11 H12 H13 H14 H15 H16 H17 H18 H19 H20 H21 H22 H23 H24 H25 H26 H27 H28 H29 H30 H31 H32 H33 H34" showDropDown="0" showInputMessage="0" showErrorMessage="0" allowBlank="1" type="list">
      <formula1>"评论区,搜索补全,线下卡点,自己踩的坑"</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16B45"/>
    <outlinePr summaryBelow="1" summaryRight="1"/>
    <pageSetUpPr/>
  </sheetPr>
  <dimension ref="A1:E10"/>
  <sheetViews>
    <sheetView showGridLines="0" workbookViewId="0">
      <selection activeCell="A1" sqref="A1"/>
    </sheetView>
  </sheetViews>
  <sheetFormatPr baseColWidth="8" defaultRowHeight="15"/>
  <cols>
    <col width="5" customWidth="1" min="1" max="1"/>
    <col width="16" customWidth="1" min="2" max="2"/>
    <col width="62" customWidth="1" min="3" max="3"/>
    <col width="40" customWidth="1" min="4" max="4"/>
    <col width="10" customWidth="1" min="5" max="5"/>
  </cols>
  <sheetData>
    <row r="1">
      <c r="A1" s="6" t="inlineStr">
        <is>
          <t>90 天执行表</t>
        </is>
      </c>
    </row>
    <row r="2">
      <c r="A2" s="2" t="inlineStr">
        <is>
          <t>不追求完美，追求样本量。“已完成”列填 1 表示做完了。</t>
        </is>
      </c>
    </row>
    <row r="3">
      <c r="D3" s="7" t="inlineStr">
        <is>
          <t>完成率</t>
        </is>
      </c>
      <c r="E3" s="21">
        <f>COUNT(E5:E10)/6</f>
        <v>0</v>
      </c>
    </row>
    <row r="4">
      <c r="A4" s="8" t="inlineStr">
        <is>
          <t>#</t>
        </is>
      </c>
      <c r="B4" s="8" t="inlineStr">
        <is>
          <t>阶段</t>
        </is>
      </c>
      <c r="C4" s="8" t="inlineStr">
        <is>
          <t>动作</t>
        </is>
      </c>
      <c r="D4" s="8" t="inlineStr">
        <is>
          <t>完成标准</t>
        </is>
      </c>
      <c r="E4" s="8" t="inlineStr">
        <is>
          <t>已完成</t>
        </is>
      </c>
    </row>
    <row r="5" ht="54" customHeight="1">
      <c r="A5" s="9" t="n">
        <v>1</v>
      </c>
      <c r="B5" s="22" t="inlineStr">
        <is>
          <t>第 1 周 · 定位</t>
        </is>
      </c>
      <c r="C5" s="11" t="inlineStr">
        <is>
          <t>选定一个细分（不是“Excel”，而是“给财务的 Excel”或“给 HR 的 Excel”）。确定账号名、固定出镜位与配色、三条视觉签名动作。</t>
        </is>
      </c>
      <c r="D5" s="12" t="inlineStr">
        <is>
          <t>能用一句话说清“我是给谁讲什么的”。</t>
        </is>
      </c>
      <c r="E5" s="13" t="n"/>
    </row>
    <row r="6" ht="54" customHeight="1">
      <c r="A6" s="9" t="n">
        <v>2</v>
      </c>
      <c r="B6" s="22" t="inlineStr">
        <is>
          <t>第 2 周 · 攒题</t>
        </is>
      </c>
      <c r="C6" s="11" t="inlineStr">
        <is>
          <t>用评论区、搜索补全、真实工作场景列出 60 个选题，用“高频 × 高痛 × 低步骤”筛掉一半（用“选题池”表）。</t>
        </is>
      </c>
      <c r="D6" s="12" t="inlineStr">
        <is>
          <t>手上有 30 个随时能拍的题。</t>
        </is>
      </c>
      <c r="E6" s="13" t="n"/>
    </row>
    <row r="7" ht="54" customHeight="1">
      <c r="A7" s="9" t="n">
        <v>3</v>
      </c>
      <c r="B7" s="22" t="inlineStr">
        <is>
          <t>第 3–6 周 · 放量</t>
        </is>
      </c>
      <c r="C7" s="11" t="inlineStr">
        <is>
          <t>每周一个拍摄日，一次拍 15 条；日更发布。每条严格套用“内容公式”的四段结构。</t>
        </is>
      </c>
      <c r="D7" s="12" t="inlineStr">
        <is>
          <t>累计发布 30 条，不评价好坏。</t>
        </is>
      </c>
      <c r="E7" s="13" t="n"/>
    </row>
    <row r="8" ht="54" customHeight="1">
      <c r="A8" s="9" t="n">
        <v>4</v>
      </c>
      <c r="B8" s="22" t="inlineStr">
        <is>
          <t>第 7 周 · 复盘</t>
        </is>
      </c>
      <c r="C8" s="11" t="inlineStr">
        <is>
          <t>按收藏率排序全部内容，找出前 5 条的共同点：是钩子形式、选题类别、还是节奏？写成一句可复制的规律。</t>
        </is>
      </c>
      <c r="D8" s="12" t="inlineStr">
        <is>
          <t>得到属于你自己的爆款公式，而不是别人的。</t>
        </is>
      </c>
      <c r="E8" s="13" t="n"/>
    </row>
    <row r="9" ht="54" customHeight="1">
      <c r="A9" s="9" t="n">
        <v>5</v>
      </c>
      <c r="B9" s="22" t="inlineStr">
        <is>
          <t>第 8–10 周 · 复制</t>
        </is>
      </c>
      <c r="C9" s="11" t="inlineStr">
        <is>
          <t>只按上一步的规律做内容，把前 5 条各扩展成一个 5 集系列。同时上线速查表，开始收邮箱。</t>
        </is>
      </c>
      <c r="D9" s="12" t="inlineStr">
        <is>
          <t>邮件列表破 500，且有一个稳定跑通的系列。</t>
        </is>
      </c>
      <c r="E9" s="13" t="n"/>
    </row>
    <row r="10" ht="54" customHeight="1">
      <c r="A10" s="9" t="n">
        <v>6</v>
      </c>
      <c r="B10" s="22" t="inlineStr">
        <is>
          <t>第 11–13 周 · 验证付费</t>
        </is>
      </c>
      <c r="C10" s="11" t="inlineStr">
        <is>
          <t>先做一场小规模直播或工作坊验证有人愿意付钱，再录成课程。先卖后做，不要先做后卖。</t>
        </is>
      </c>
      <c r="D10" s="12" t="inlineStr">
        <is>
          <t>拿到第一笔收入，并收集到能用的学员反馈。</t>
        </is>
      </c>
      <c r="E10" s="13" t="n"/>
    </row>
  </sheetData>
  <dataValidations count="1">
    <dataValidation sqref="E5 E6 E7 E8 E9 E10" showDropDown="0" showInputMessage="0" showErrorMessage="0" allowBlank="1" type="list">
      <formula1>"1"</formula1>
    </dataValidation>
  </dataValidations>
  <pageMargins left="0.75" right="0.75" top="1" bottom="1" header="0.5" footer="0.5"/>
</worksheet>
</file>

<file path=xl/worksheets/sheet6.xml><?xml version="1.0" encoding="utf-8"?>
<worksheet xmlns="http://schemas.openxmlformats.org/spreadsheetml/2006/main">
  <sheetPr>
    <tabColor rgb="00116B45"/>
    <outlinePr summaryBelow="1" summaryRight="1"/>
    <pageSetUpPr/>
  </sheetPr>
  <dimension ref="A1:D17"/>
  <sheetViews>
    <sheetView showGridLines="0" workbookViewId="0">
      <selection activeCell="A1" sqref="A1"/>
    </sheetView>
  </sheetViews>
  <sheetFormatPr baseColWidth="8" defaultRowHeight="15"/>
  <cols>
    <col width="6" customWidth="1" min="1" max="1"/>
    <col width="22" customWidth="1" min="2" max="2"/>
    <col width="66" customWidth="1" min="3" max="3"/>
    <col width="18" customWidth="1" min="4" max="4"/>
  </cols>
  <sheetData>
    <row r="1">
      <c r="A1" s="6" t="inlineStr">
        <is>
          <t>变现阶梯 · 内容只是漏斗最上面那一层</t>
        </is>
      </c>
    </row>
    <row r="2">
      <c r="A2" s="2" t="inlineStr">
        <is>
          <t>每一层都在过滤人群，客单价随之上升。判断你现在缺哪一层，就补哪一层。</t>
        </is>
      </c>
    </row>
    <row r="4">
      <c r="A4" s="8" t="inlineStr">
        <is>
          <t>层</t>
        </is>
      </c>
      <c r="B4" s="8" t="inlineStr">
        <is>
          <t>是什么</t>
        </is>
      </c>
      <c r="C4" s="8" t="inlineStr">
        <is>
          <t>这一层的唯一任务</t>
        </is>
      </c>
      <c r="D4" s="8" t="inlineStr">
        <is>
          <t>参考价位</t>
        </is>
      </c>
    </row>
    <row r="5" ht="38" customHeight="1">
      <c r="A5" s="8" t="inlineStr">
        <is>
          <t>L0</t>
        </is>
      </c>
      <c r="B5" s="10" t="inlineStr">
        <is>
          <t>免费短视频</t>
        </is>
      </c>
      <c r="C5" s="11" t="inlineStr">
        <is>
          <t>不是成交，是被记住和被收藏。唯一任务：把人带到下一层。</t>
        </is>
      </c>
      <c r="D5" s="17" t="inlineStr">
        <is>
          <t>0</t>
        </is>
      </c>
    </row>
    <row r="6" ht="38" customHeight="1">
      <c r="A6" s="8" t="inlineStr">
        <is>
          <t>L1</t>
        </is>
      </c>
      <c r="B6" s="10" t="inlineStr">
        <is>
          <t>邮件列表</t>
        </is>
      </c>
      <c r="C6" s="11" t="inlineStr">
        <is>
          <t>用速查表、模板、快捷键清单换邮箱。这是唯一属于你的渠道，算法改版动不了它。</t>
        </is>
      </c>
      <c r="D6" s="17" t="inlineStr">
        <is>
          <t>获取成本</t>
        </is>
      </c>
    </row>
    <row r="7" ht="38" customHeight="1">
      <c r="A7" s="8" t="inlineStr">
        <is>
          <t>L2</t>
        </is>
      </c>
      <c r="B7" s="10" t="inlineStr">
        <is>
          <t>自学课程</t>
        </is>
      </c>
      <c r="C7" s="11" t="inlineStr">
        <is>
          <t>录制一次、无限售卖。按“帮你省下多少时间”定价，不按课时长短定价。</t>
        </is>
      </c>
      <c r="D7" s="17" t="inlineStr">
        <is>
          <t>$50–200</t>
        </is>
      </c>
    </row>
    <row r="8" ht="38" customHeight="1">
      <c r="A8" s="8" t="inlineStr">
        <is>
          <t>L3</t>
        </is>
      </c>
      <c r="B8" s="10" t="inlineStr">
        <is>
          <t>课程套装 / 会员</t>
        </is>
      </c>
      <c r="C8" s="11" t="inlineStr">
        <is>
          <t>把单课打包，加上答疑与更新。提高客单价，同时降低获客成本。</t>
        </is>
      </c>
      <c r="D8" s="17" t="inlineStr">
        <is>
          <t>$300–600</t>
        </is>
      </c>
    </row>
    <row r="9" ht="38" customHeight="1">
      <c r="A9" s="8" t="inlineStr">
        <is>
          <t>L4</t>
        </is>
      </c>
      <c r="B9" s="10" t="inlineStr">
        <is>
          <t>企业培训 · 品牌合作</t>
        </is>
      </c>
      <c r="C9" s="11" t="inlineStr">
        <is>
          <t>公开内容就是你的作品集和报价依据。单笔金额远高于零售，且不占日常产能。</t>
        </is>
      </c>
      <c r="D9" s="17" t="inlineStr">
        <is>
          <t>四位数以上</t>
        </is>
      </c>
    </row>
    <row r="11">
      <c r="A11" s="15" t="inlineStr">
        <is>
          <t>四条纪律</t>
        </is>
      </c>
    </row>
    <row r="12" ht="36" customHeight="1">
      <c r="A12" s="16" t="inlineStr">
        <is>
          <t>▸</t>
        </is>
      </c>
      <c r="B12" s="10" t="inlineStr">
        <is>
          <t>限时开售</t>
        </is>
      </c>
      <c r="C12" s="11" t="inlineStr">
        <is>
          <t>常年挂着的课不会有人买。设定开售与关闭窗口，用真实截止时间制造决策点，其余时间只做内容。</t>
        </is>
      </c>
      <c r="D12" s="18" t="n"/>
    </row>
    <row r="13" ht="36" customHeight="1">
      <c r="A13" s="16" t="inlineStr">
        <is>
          <t>▸</t>
        </is>
      </c>
      <c r="B13" s="10" t="inlineStr">
        <is>
          <t>用学员成果代替自我推销</t>
        </is>
      </c>
      <c r="C13" s="11" t="inlineStr">
        <is>
          <t>把“我的课很好”换成“她用这个方法把周报从 3 小时压到 20 分钟”。</t>
        </is>
      </c>
      <c r="D13" s="18" t="n"/>
    </row>
    <row r="14" ht="36" customHeight="1">
      <c r="A14" s="16" t="inlineStr">
        <is>
          <t>▸</t>
        </is>
      </c>
      <c r="B14" s="10" t="inlineStr">
        <is>
          <t>品类纯度</t>
        </is>
      </c>
      <c r="C14" s="11" t="inlineStr">
        <is>
          <t>只接与主题一致的合作。一条不相关的广告，损失的是“她只讲 Excel”这个心智，代价远高于那笔钱。</t>
        </is>
      </c>
      <c r="D14" s="18" t="n"/>
    </row>
    <row r="15" ht="36" customHeight="1">
      <c r="A15" s="16" t="inlineStr">
        <is>
          <t>▸</t>
        </is>
      </c>
      <c r="B15" s="10" t="inlineStr">
        <is>
          <t>一人公司的杠杆</t>
        </is>
      </c>
      <c r="C15" s="11" t="inlineStr">
        <is>
          <t>产品做一次卖无限次，剪辑和客服外包，工具栈保持最简。瓶颈是精力，不是需求。</t>
        </is>
      </c>
      <c r="D15" s="18" t="n"/>
    </row>
    <row r="17">
      <c r="B17" s="23" t="inlineStr">
        <is>
          <t>提醒</t>
        </is>
      </c>
      <c r="C17" s="24" t="inlineStr">
        <is>
          <t>本表未引用任何未经证实的经营数据；价位区间为该品类常见档位，非 Kat Norton 本人定价。</t>
        </is>
      </c>
    </row>
  </sheetData>
  <mergeCells count="5">
    <mergeCell ref="C12:D12"/>
    <mergeCell ref="C15:D15"/>
    <mergeCell ref="C14:D14"/>
    <mergeCell ref="C13:D13"/>
    <mergeCell ref="C17:D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2026-08-31T14:27:23Z</dcterms:created>
  <dcterms:modified xsi:type="dcterms:W3CDTF">2026-08-31T14:27:23Z</dcterms:modified>
</cp:coreProperties>
</file>